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ensitivity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0"/>
    <numFmt numFmtId="166" formatCode="#,##0.0"/>
    <numFmt numFmtId="167" formatCode="$#,##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1E293B"/>
      <sz val="12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047857"/>
      <sz val="14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2" borderId="1" pivotButton="0" quotePrefix="0" xfId="0"/>
    <xf numFmtId="166" fontId="6" fillId="0" borderId="1" pivotButton="0" quotePrefix="0" xfId="0"/>
    <xf numFmtId="165" fontId="6" fillId="0" borderId="1" pivotButton="0" quotePrefix="0" xfId="0"/>
    <xf numFmtId="0" fontId="6" fillId="3" borderId="1" pivotButton="0" quotePrefix="0" xfId="0"/>
    <xf numFmtId="0" fontId="5" fillId="3" borderId="1" pivotButton="0" quotePrefix="0" xfId="0"/>
    <xf numFmtId="165" fontId="7" fillId="3" borderId="1" pivotButton="0" quotePrefix="0" xfId="0"/>
    <xf numFmtId="3" fontId="6" fillId="0" borderId="1" pivotButton="0" quotePrefix="0" xfId="0"/>
    <xf numFmtId="167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24" customWidth="1" min="2" max="2"/>
    <col width="28" customWidth="1" min="3" max="3"/>
  </cols>
  <sheetData>
    <row r="1">
      <c r="A1" s="1" t="inlineStr">
        <is>
          <t>SWITCHYARD: Operational Reliability &amp; Financial Impact Model</t>
        </is>
      </c>
    </row>
    <row r="2">
      <c r="A2" s="2" t="inlineStr">
        <is>
          <t>Scenario analysis modeling triage efficiency gains and SLA penalty avoidance.</t>
        </is>
      </c>
    </row>
    <row r="3"/>
    <row r="4">
      <c r="A4" s="3" t="inlineStr">
        <is>
          <t>Model Assumptions &amp; Parameters</t>
        </is>
      </c>
    </row>
    <row r="5">
      <c r="A5" s="4" t="inlineStr">
        <is>
          <t>Parameter</t>
        </is>
      </c>
      <c r="B5" s="5" t="inlineStr">
        <is>
          <t>Baseline Value</t>
        </is>
      </c>
      <c r="C5" s="5" t="inlineStr">
        <is>
          <t>Unit / Metric</t>
        </is>
      </c>
    </row>
    <row r="6">
      <c r="A6" s="6" t="inlineStr">
        <is>
          <t>Monthly Operational Incident Volume</t>
        </is>
      </c>
      <c r="B6" s="7" t="n">
        <v>15000</v>
      </c>
      <c r="C6" s="6" t="inlineStr">
        <is>
          <t>incidents / month</t>
        </is>
      </c>
    </row>
    <row r="7">
      <c r="A7" s="6" t="inlineStr">
        <is>
          <t>Baseline SLA Breach Rate</t>
        </is>
      </c>
      <c r="B7" s="8" t="n">
        <v>0.118</v>
      </c>
      <c r="C7" s="6" t="inlineStr">
        <is>
          <t>percentage (11.8%)</t>
        </is>
      </c>
    </row>
    <row r="8">
      <c r="A8" s="6" t="inlineStr">
        <is>
          <t>Target Modeled SLA Breach Rate</t>
        </is>
      </c>
      <c r="B8" s="8" t="n">
        <v>0.07199999999999999</v>
      </c>
      <c r="C8" s="6" t="inlineStr">
        <is>
          <t>percentage (7.2%)</t>
        </is>
      </c>
    </row>
    <row r="9">
      <c r="A9" s="6" t="inlineStr">
        <is>
          <t>Manual Triage Time per Case</t>
        </is>
      </c>
      <c r="B9" s="7" t="n">
        <v>14</v>
      </c>
      <c r="C9" s="6" t="inlineStr">
        <is>
          <t>minutes</t>
        </is>
      </c>
    </row>
    <row r="10">
      <c r="A10" s="6" t="inlineStr">
        <is>
          <t>SWITCHYARD Automated Triage Time</t>
        </is>
      </c>
      <c r="B10" s="7" t="n">
        <v>3.5</v>
      </c>
      <c r="C10" s="6" t="inlineStr">
        <is>
          <t>minutes</t>
        </is>
      </c>
    </row>
    <row r="11">
      <c r="A11" s="6" t="inlineStr">
        <is>
          <t>Average Penalty per SLA Breach</t>
        </is>
      </c>
      <c r="B11" s="9" t="n">
        <v>1250</v>
      </c>
      <c r="C11" s="6" t="inlineStr">
        <is>
          <t>USD ($)</t>
        </is>
      </c>
    </row>
    <row r="12">
      <c r="A12" s="6" t="inlineStr">
        <is>
          <t>Blended Engineer Hourly Cost</t>
        </is>
      </c>
      <c r="B12" s="9" t="n">
        <v>65</v>
      </c>
      <c r="C12" s="6" t="inlineStr">
        <is>
          <t>USD ($/hr)</t>
        </is>
      </c>
    </row>
    <row r="13"/>
    <row r="14"/>
    <row r="15">
      <c r="A15" s="3" t="inlineStr">
        <is>
          <t>Projected Annual Operational Impact (Excel Formulas)</t>
        </is>
      </c>
    </row>
    <row r="16">
      <c r="A16" s="10" t="inlineStr">
        <is>
          <t>Impact Metric</t>
        </is>
      </c>
      <c r="B16" s="10" t="inlineStr">
        <is>
          <t>Formula / Derivation</t>
        </is>
      </c>
      <c r="C16" s="10" t="inlineStr">
        <is>
          <t>Annual Projected Outcome</t>
        </is>
      </c>
    </row>
    <row r="17">
      <c r="A17" s="6" t="inlineStr">
        <is>
          <t>Monthly Triage Hours Saved</t>
        </is>
      </c>
      <c r="B17" s="6" t="inlineStr">
        <is>
          <t>hours / month</t>
        </is>
      </c>
      <c r="C17" s="11">
        <f>(B6*(B9-B10))/60</f>
        <v/>
      </c>
    </row>
    <row r="18">
      <c r="A18" s="6" t="inlineStr">
        <is>
          <t>Annual Triage Hours Reclaimed</t>
        </is>
      </c>
      <c r="B18" s="6" t="inlineStr">
        <is>
          <t>hours / year</t>
        </is>
      </c>
      <c r="C18" s="11">
        <f>C17*12</f>
        <v/>
      </c>
    </row>
    <row r="19">
      <c r="A19" s="6" t="inlineStr">
        <is>
          <t>Annual Engineering Productivity Value</t>
        </is>
      </c>
      <c r="B19" s="6" t="inlineStr">
        <is>
          <t>$ / year</t>
        </is>
      </c>
      <c r="C19" s="12">
        <f>C18*B12</f>
        <v/>
      </c>
    </row>
    <row r="20">
      <c r="A20" s="6" t="inlineStr">
        <is>
          <t>Annual SLA Breaches Prevented</t>
        </is>
      </c>
      <c r="B20" s="6" t="inlineStr">
        <is>
          <t>cases / year</t>
        </is>
      </c>
      <c r="C20" s="11">
        <f>B6*(B7-B8)*12</f>
        <v/>
      </c>
    </row>
    <row r="21">
      <c r="A21" s="6" t="inlineStr">
        <is>
          <t>Annual Penalty Avoidance Savings</t>
        </is>
      </c>
      <c r="B21" s="6" t="inlineStr">
        <is>
          <t>$ / year</t>
        </is>
      </c>
      <c r="C21" s="12">
        <f>C20*B11</f>
        <v/>
      </c>
    </row>
    <row r="22">
      <c r="A22" s="13" t="inlineStr">
        <is>
          <t>Total Annual Net Economic Benefit</t>
        </is>
      </c>
      <c r="B22" s="14" t="inlineStr">
        <is>
          <t>$ / year</t>
        </is>
      </c>
      <c r="C22" s="15">
        <f>C19+C21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47" customWidth="1" min="2" max="2"/>
    <col width="47" customWidth="1" min="3" max="3"/>
    <col width="48" customWidth="1" min="4" max="4"/>
    <col width="47" customWidth="1" min="5" max="5"/>
    <col width="47" customWidth="1" min="6" max="6"/>
  </cols>
  <sheetData>
    <row r="1">
      <c r="A1" s="1" t="inlineStr">
        <is>
          <t>Incident Volume vs. SLA Breach Reduction Sensitivity ($ Net Benefit)</t>
        </is>
      </c>
    </row>
    <row r="2"/>
    <row r="3">
      <c r="A3" s="10" t="inlineStr">
        <is>
          <t>Monthly Incident Volume</t>
        </is>
      </c>
      <c r="B3" s="5" t="inlineStr">
        <is>
          <t>2.0% Breach Reduction</t>
        </is>
      </c>
      <c r="C3" s="5" t="inlineStr">
        <is>
          <t>3.0% Breach Reduction</t>
        </is>
      </c>
      <c r="D3" s="5" t="inlineStr">
        <is>
          <t>4.6% Breach Reduction</t>
        </is>
      </c>
      <c r="E3" s="5" t="inlineStr">
        <is>
          <t>6.0% Breach Reduction</t>
        </is>
      </c>
      <c r="F3" s="5" t="inlineStr">
        <is>
          <t>8.0% Breach Reduction</t>
        </is>
      </c>
    </row>
    <row r="4">
      <c r="A4" s="16" t="n">
        <v>5000</v>
      </c>
      <c r="B4" s="17">
        <f>($A4*(10.5/60)*12*65) + ($A4*0.02*12*1250)</f>
        <v/>
      </c>
      <c r="C4" s="17">
        <f>($A4*(10.5/60)*12*65) + ($A4*0.03*12*1250)</f>
        <v/>
      </c>
      <c r="D4" s="17">
        <f>($A4*(10.5/60)*12*65) + ($A4*0.046*12*1250)</f>
        <v/>
      </c>
      <c r="E4" s="17">
        <f>($A4*(10.5/60)*12*65) + ($A4*0.06*12*1250)</f>
        <v/>
      </c>
      <c r="F4" s="17">
        <f>($A4*(10.5/60)*12*65) + ($A4*0.08*12*1250)</f>
        <v/>
      </c>
    </row>
    <row r="5">
      <c r="A5" s="16" t="n">
        <v>10000</v>
      </c>
      <c r="B5" s="17">
        <f>($A5*(10.5/60)*12*65) + ($A5*0.02*12*1250)</f>
        <v/>
      </c>
      <c r="C5" s="17">
        <f>($A5*(10.5/60)*12*65) + ($A5*0.03*12*1250)</f>
        <v/>
      </c>
      <c r="D5" s="17">
        <f>($A5*(10.5/60)*12*65) + ($A5*0.046*12*1250)</f>
        <v/>
      </c>
      <c r="E5" s="17">
        <f>($A5*(10.5/60)*12*65) + ($A5*0.06*12*1250)</f>
        <v/>
      </c>
      <c r="F5" s="17">
        <f>($A5*(10.5/60)*12*65) + ($A5*0.08*12*1250)</f>
        <v/>
      </c>
    </row>
    <row r="6">
      <c r="A6" s="16" t="n">
        <v>15000</v>
      </c>
      <c r="B6" s="17">
        <f>($A6*(10.5/60)*12*65) + ($A6*0.02*12*1250)</f>
        <v/>
      </c>
      <c r="C6" s="17">
        <f>($A6*(10.5/60)*12*65) + ($A6*0.03*12*1250)</f>
        <v/>
      </c>
      <c r="D6" s="17">
        <f>($A6*(10.5/60)*12*65) + ($A6*0.046*12*1250)</f>
        <v/>
      </c>
      <c r="E6" s="17">
        <f>($A6*(10.5/60)*12*65) + ($A6*0.06*12*1250)</f>
        <v/>
      </c>
      <c r="F6" s="17">
        <f>($A6*(10.5/60)*12*65) + ($A6*0.08*12*1250)</f>
        <v/>
      </c>
    </row>
    <row r="7">
      <c r="A7" s="16" t="n">
        <v>20000</v>
      </c>
      <c r="B7" s="17">
        <f>($A7*(10.5/60)*12*65) + ($A7*0.02*12*1250)</f>
        <v/>
      </c>
      <c r="C7" s="17">
        <f>($A7*(10.5/60)*12*65) + ($A7*0.03*12*1250)</f>
        <v/>
      </c>
      <c r="D7" s="17">
        <f>($A7*(10.5/60)*12*65) + ($A7*0.046*12*1250)</f>
        <v/>
      </c>
      <c r="E7" s="17">
        <f>($A7*(10.5/60)*12*65) + ($A7*0.06*12*1250)</f>
        <v/>
      </c>
      <c r="F7" s="17">
        <f>($A7*(10.5/60)*12*65) + ($A7*0.08*12*1250)</f>
        <v/>
      </c>
    </row>
    <row r="8">
      <c r="A8" s="16" t="n">
        <v>25000</v>
      </c>
      <c r="B8" s="17">
        <f>($A8*(10.5/60)*12*65) + ($A8*0.02*12*1250)</f>
        <v/>
      </c>
      <c r="C8" s="17">
        <f>($A8*(10.5/60)*12*65) + ($A8*0.03*12*1250)</f>
        <v/>
      </c>
      <c r="D8" s="17">
        <f>($A8*(10.5/60)*12*65) + ($A8*0.046*12*1250)</f>
        <v/>
      </c>
      <c r="E8" s="17">
        <f>($A8*(10.5/60)*12*65) + ($A8*0.06*12*1250)</f>
        <v/>
      </c>
      <c r="F8" s="17">
        <f>($A8*(10.5/60)*12*65) + ($A8*0.08*12*1250)</f>
        <v/>
      </c>
    </row>
    <row r="9">
      <c r="A9" s="16" t="n">
        <v>50000</v>
      </c>
      <c r="B9" s="17">
        <f>($A9*(10.5/60)*12*65) + ($A9*0.02*12*1250)</f>
        <v/>
      </c>
      <c r="C9" s="17">
        <f>($A9*(10.5/60)*12*65) + ($A9*0.03*12*1250)</f>
        <v/>
      </c>
      <c r="D9" s="17">
        <f>($A9*(10.5/60)*12*65) + ($A9*0.046*12*1250)</f>
        <v/>
      </c>
      <c r="E9" s="17">
        <f>($A9*(10.5/60)*12*65) + ($A9*0.06*12*1250)</f>
        <v/>
      </c>
      <c r="F9" s="17">
        <f>($A9*(10.5/60)*12*65) + ($A9*0.08*12*1250)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2026-09-23T00:25:00Z</dcterms:created>
  <dcterms:modified xmlns:dcterms="http://purl.org/dc/terms/" xmlns:xsi="http://www.w3.org/2001/XMLSchema-instance" xsi:type="dcterms:W3CDTF">2026-09-23T00:25:00Z</dcterms:modified>
</cp:coreProperties>
</file>